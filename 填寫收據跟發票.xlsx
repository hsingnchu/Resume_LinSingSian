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行政\"/>
    </mc:Choice>
  </mc:AlternateContent>
  <xr:revisionPtr revIDLastSave="0" documentId="13_ncr:1_{7CDE4454-CDFD-4F91-950A-25B66CEA8687}" xr6:coauthVersionLast="47" xr6:coauthVersionMax="47" xr10:uidLastSave="{00000000-0000-0000-0000-000000000000}"/>
  <bookViews>
    <workbookView xWindow="1665" yWindow="2730" windowWidth="19935" windowHeight="10425" xr2:uid="{0D64DBBA-5580-48D9-AD7C-39D5536DFE85}"/>
  </bookViews>
  <sheets>
    <sheet name="收據" sheetId="1" r:id="rId1"/>
    <sheet name="統編跟抬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8" i="1"/>
  <c r="E14" i="1" s="1"/>
  <c r="G2" i="2" s="1"/>
  <c r="H8" i="2" s="1"/>
  <c r="B5" i="1"/>
  <c r="F3" i="1"/>
  <c r="H6" i="2" l="1"/>
  <c r="H7" i="2"/>
  <c r="H5" i="2"/>
  <c r="H4" i="2"/>
  <c r="H2" i="2" l="1" a="1"/>
  <c r="H2" i="2" s="1"/>
  <c r="C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tc={DB87CEAB-0080-4B21-B44E-B4787ECB1670}</author>
    <author>tc={DD6EB7FF-B5E1-427D-B07C-438B1A70C267}</author>
  </authors>
  <commentList>
    <comment ref="A2" authorId="0" shapeId="0" xr:uid="{DB87CEAB-0080-4B21-B44E-B4787ECB1670}">
      <text>
        <t>[對話串註解]
您的 Excel 版本可讓您讀取此對話串註解; 但若以較新的 Excel 版本開啟此檔案，將會移除對它進行的所有編輯。深入了解: https://go.microsoft.com/fwlink/?linkid=870924。
註解:
    合併時改 台新統編</t>
      </text>
    </comment>
    <comment ref="B2" authorId="1" shapeId="0" xr:uid="{DD6EB7FF-B5E1-427D-B07C-438B1A70C267}">
      <text>
        <t>[對話串註解]
您的 Excel 版本可讓您讀取此對話串註解; 但若以較新的 Excel 版本開啟此檔案，將會移除對它進行的所有編輯。深入了解: https://go.microsoft.com/fwlink/?linkid=870924。
註解:
    合併時改 台新抬頭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<sst xmlns="http://schemas.openxmlformats.org/spreadsheetml/2006/main" count="41" uniqueCount="41">
  <si>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>統編</t>
    <phoneticPr fontId="1" type="noConversion"/>
  </si>
  <si>
    <t>抬頭</t>
    <phoneticPr fontId="1" type="noConversion"/>
  </si>
  <si>
    <t>數字</t>
    <phoneticPr fontId="1" type="noConversion"/>
  </si>
  <si>
    <t>大寫</t>
    <phoneticPr fontId="1" type="noConversion"/>
  </si>
  <si>
    <t>元富證券股份有限公司</t>
  </si>
  <si>
    <t>零</t>
  </si>
  <si>
    <t>壹</t>
  </si>
  <si>
    <t>貳</t>
  </si>
  <si>
    <t>參</t>
  </si>
  <si>
    <t>肆</t>
  </si>
  <si>
    <t>伍</t>
  </si>
  <si>
    <t>陸</t>
  </si>
  <si>
    <t>柒</t>
  </si>
  <si>
    <t>捌</t>
  </si>
  <si>
    <t>玖</t>
  </si>
  <si>
    <t>仟</t>
  </si>
  <si>
    <t>萬</t>
  </si>
  <si>
    <t>億</t>
  </si>
  <si>
    <t xml:space="preserve">免用統一發票收據 </t>
    <phoneticPr fontId="1" type="noConversion"/>
  </si>
  <si>
    <t>統一編號</t>
    <phoneticPr fontId="1" type="noConversion"/>
  </si>
  <si>
    <t>台照</t>
    <phoneticPr fontId="1" type="noConversion"/>
  </si>
  <si>
    <t>品名</t>
    <phoneticPr fontId="1" type="noConversion"/>
  </si>
  <si>
    <t>數量</t>
    <phoneticPr fontId="1" type="noConversion"/>
  </si>
  <si>
    <t xml:space="preserve">單價 </t>
    <phoneticPr fontId="1" type="noConversion"/>
  </si>
  <si>
    <t>總價</t>
    <phoneticPr fontId="1" type="noConversion"/>
  </si>
  <si>
    <t>合計(數字)</t>
    <phoneticPr fontId="1" type="noConversion"/>
  </si>
  <si>
    <t>合計(國字)</t>
    <phoneticPr fontId="1" type="noConversion"/>
  </si>
  <si>
    <t>自行填寫區</t>
    <phoneticPr fontId="1" type="noConversion"/>
  </si>
  <si>
    <t>轉換區</t>
    <phoneticPr fontId="1" type="noConversion"/>
  </si>
  <si>
    <t>0</t>
    <phoneticPr fontId="1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</si>
  <si>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</si>
  <si>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</si>
  <si>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</si>
  <si>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</si>
  <si>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</si>
  <si>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</si>
  <si>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</si>
  <si>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</si>
  <si>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</si>
  <si>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長度</t>
    <phoneticPr fontId="1" type="noConversion"/>
  </si>
  <si>
    <t>文字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</si>
</sst>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49" fontId="0" fillId="3" borderId="0" xfId="0" quotePrefix="1" applyNumberForma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林幸嫻-數位金融部-金融資訊處" id="{06160460-4950-42EC-A51A-86B4521E43E5}" userId="S::singsianlin@masterlink.com.tw::6deaa501-4840-48e9-8279-0e7d94af2b8b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1-19T05:17:42.73" personId="{06160460-4950-42EC-A51A-86B4521E43E5}" id="{DB87CEAB-0080-4B21-B44E-B4787ECB1670}">
    <text>合併時改 台新統編</text>
  </threadedComment>
  <threadedComment ref="B2" dT="2026-01-19T05:18:23.91" personId="{06160460-4950-42EC-A51A-86B4521E43E5}" id="{DD6EB7FF-B5E1-427D-B07C-438B1A70C267}">
    <text>合併時改 台新抬頭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D89C-FB94-4635-B2A6-8A69FE0F17DE}">
  <dimension ref="A1:H16"/>
  <sheetViews>
    <sheetView tabSelected="1" workbookViewId="0">
      <selection activeCell="F9" sqref="F9"/>
    </sheetView>
  </sheetViews>
  <sheetFormatPr defaultRowHeight="16.5" x14ac:dyDescent="0.25"/>
  <cols>
    <col min="2" max="2" width="17" customWidth="1"/>
    <col min="3" max="4" width="11" customWidth="1"/>
    <col min="5" max="5" width="10.875" customWidth="1"/>
    <col min="6" max="7" width="12.875" customWidth="1"/>
  </cols>
  <sheetData>
    <row r="1" spans="1:8" x14ac:dyDescent="0.25">
      <c r="B1" s="12" t="s">
        <v>27</v>
      </c>
    </row>
    <row r="2" spans="1:8" ht="18.75" x14ac:dyDescent="0.25">
      <c r="A2" s="1"/>
      <c r="B2" s="2"/>
      <c r="C2" s="2"/>
      <c r="D2" s="2"/>
      <c r="E2" s="2"/>
      <c r="F2" s="2"/>
      <c r="G2" s="2"/>
      <c r="H2" s="3"/>
    </row>
    <row r="3" spans="1:8" ht="18.75" x14ac:dyDescent="0.25">
      <c r="A3" s="4"/>
      <c r="B3" s="5" t="s">
        <v>18</v>
      </c>
      <c r="C3" s="6"/>
      <c r="D3" s="6"/>
      <c r="E3" s="5" t="s">
        <v>19</v>
      </c>
      <c r="F3" s="6">
        <f>統編跟抬頭!$A$2</f>
        <v>23357868</v>
      </c>
      <c r="G3" s="6"/>
      <c r="H3" s="7"/>
    </row>
    <row r="4" spans="1:8" ht="13.5" customHeight="1" x14ac:dyDescent="0.25">
      <c r="A4" s="4"/>
      <c r="B4" s="6"/>
      <c r="C4" s="6"/>
      <c r="D4" s="6"/>
      <c r="E4" s="6"/>
      <c r="F4" s="6"/>
      <c r="G4" s="6"/>
      <c r="H4" s="7"/>
    </row>
    <row r="5" spans="1:8" ht="18.75" x14ac:dyDescent="0.25">
      <c r="A5" s="4"/>
      <c r="B5" s="6" t="str">
        <f>統編跟抬頭!$B$2</f>
        <v>元富證券股份有限公司</v>
      </c>
      <c r="C5" s="6"/>
      <c r="D5" s="6" t="s">
        <v>20</v>
      </c>
      <c r="E5" s="6"/>
      <c r="F5" s="6"/>
      <c r="G5" s="6"/>
      <c r="H5" s="7"/>
    </row>
    <row r="6" spans="1:8" ht="18.75" x14ac:dyDescent="0.25">
      <c r="A6" s="4"/>
      <c r="B6" s="6"/>
      <c r="C6" s="6"/>
      <c r="D6" s="6"/>
      <c r="E6" s="6"/>
      <c r="F6" s="6"/>
      <c r="G6" s="6"/>
      <c r="H6" s="7"/>
    </row>
    <row r="7" spans="1:8" ht="18.75" x14ac:dyDescent="0.25">
      <c r="A7" s="4"/>
      <c r="B7" s="5" t="s">
        <v>21</v>
      </c>
      <c r="C7" s="5" t="s">
        <v>22</v>
      </c>
      <c r="D7" s="5" t="s">
        <v>23</v>
      </c>
      <c r="E7" s="5" t="s">
        <v>24</v>
      </c>
      <c r="F7" s="6"/>
      <c r="G7" s="6"/>
      <c r="H7" s="7"/>
    </row>
    <row r="8" spans="1:8" ht="18.75" x14ac:dyDescent="0.25">
      <c r="A8" s="4"/>
      <c r="B8" s="11"/>
      <c r="C8" s="11">
        <v>12</v>
      </c>
      <c r="D8" s="11">
        <v>20</v>
      </c>
      <c r="E8" s="6">
        <f>C8*D8</f>
        <v>240</v>
      </c>
      <c r="F8" s="6"/>
      <c r="G8" s="6"/>
      <c r="H8" s="7"/>
    </row>
    <row r="9" spans="1:8" ht="18.75" x14ac:dyDescent="0.25">
      <c r="A9" s="4"/>
      <c r="B9" s="11"/>
      <c r="C9" s="11"/>
      <c r="D9" s="11"/>
      <c r="E9" s="6">
        <f t="shared" ref="E9:E13" si="0">C9*D9</f>
        <v>0</v>
      </c>
      <c r="F9" s="6"/>
      <c r="G9" s="6"/>
      <c r="H9" s="7"/>
    </row>
    <row r="10" spans="1:8" ht="18.75" x14ac:dyDescent="0.25">
      <c r="A10" s="4"/>
      <c r="B10" s="11"/>
      <c r="C10" s="11"/>
      <c r="D10" s="11"/>
      <c r="E10" s="6">
        <f t="shared" si="0"/>
        <v>0</v>
      </c>
      <c r="F10" s="6"/>
      <c r="G10" s="6"/>
      <c r="H10" s="7"/>
    </row>
    <row r="11" spans="1:8" ht="18.75" x14ac:dyDescent="0.25">
      <c r="A11" s="4"/>
      <c r="B11" s="11"/>
      <c r="C11" s="11"/>
      <c r="D11" s="11"/>
      <c r="E11" s="6">
        <f t="shared" si="0"/>
        <v>0</v>
      </c>
      <c r="F11" s="6"/>
      <c r="G11" s="6"/>
      <c r="H11" s="7"/>
    </row>
    <row r="12" spans="1:8" ht="18.75" x14ac:dyDescent="0.25">
      <c r="A12" s="4"/>
      <c r="B12" s="11"/>
      <c r="C12" s="11"/>
      <c r="D12" s="11"/>
      <c r="E12" s="6">
        <f t="shared" si="0"/>
        <v>0</v>
      </c>
      <c r="F12" s="6"/>
      <c r="G12" s="6"/>
      <c r="H12" s="7"/>
    </row>
    <row r="13" spans="1:8" ht="18.75" x14ac:dyDescent="0.25">
      <c r="A13" s="4"/>
      <c r="B13" s="11"/>
      <c r="C13" s="11"/>
      <c r="D13" s="11"/>
      <c r="E13" s="6">
        <f t="shared" si="0"/>
        <v>0</v>
      </c>
      <c r="F13" s="6"/>
      <c r="G13" s="6"/>
      <c r="H13" s="7"/>
    </row>
    <row r="14" spans="1:8" ht="18.75" x14ac:dyDescent="0.25">
      <c r="A14" s="4"/>
      <c r="B14" s="5" t="s">
        <v>25</v>
      </c>
      <c r="C14" s="5"/>
      <c r="D14" s="5"/>
      <c r="E14" s="5">
        <f>SUM(E8:E13)</f>
        <v>240</v>
      </c>
      <c r="F14" s="5"/>
      <c r="G14" s="5"/>
      <c r="H14" s="7"/>
    </row>
    <row r="15" spans="1:8" ht="18.75" x14ac:dyDescent="0.25">
      <c r="A15" s="4"/>
      <c r="B15" s="8" t="s">
        <v>26</v>
      </c>
      <c r="C15" s="8" t="str">
        <f>統編跟抬頭!$H$2</f>
        <v>貳 佰 肆 拾 零 元整</v>
      </c>
      <c r="D15" s="8"/>
      <c r="E15" s="8"/>
      <c r="F15" s="8"/>
      <c r="G15" s="8"/>
      <c r="H15" s="7"/>
    </row>
    <row r="16" spans="1:8" ht="18.75" x14ac:dyDescent="0.25">
      <c r="A16" s="9"/>
      <c r="B16" s="5"/>
      <c r="C16" s="5"/>
      <c r="D16" s="5"/>
      <c r="E16" s="5"/>
      <c r="F16" s="5"/>
      <c r="G16" s="5"/>
      <c r="H16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4CBA-AD58-473B-A19E-95391F569307}">
  <dimension ref="A1:T11"/>
  <sheetViews>
    <sheetView workbookViewId="0">
      <selection activeCell="G9" sqref="G9"/>
    </sheetView>
  </sheetViews>
  <sheetFormatPr defaultRowHeight="16.5" x14ac:dyDescent="0.25"/>
  <cols>
    <col min="2" max="2" width="22.75" customWidth="1"/>
    <col min="3" max="3" width="8.75" customWidth="1"/>
    <col min="8" max="8" width="9.5" bestFit="1" customWidth="1"/>
  </cols>
  <sheetData>
    <row r="1" spans="1:20" x14ac:dyDescent="0.25">
      <c r="A1" s="13" t="s">
        <v>0</v>
      </c>
      <c r="B1" s="13" t="s">
        <v>1</v>
      </c>
      <c r="D1" s="14" t="s">
        <v>2</v>
      </c>
      <c r="E1" s="14" t="s">
        <v>3</v>
      </c>
      <c r="G1" s="13" t="s">
        <v>28</v>
      </c>
    </row>
    <row r="2" spans="1:20" x14ac:dyDescent="0.25">
      <c r="A2" s="13">
        <v>23357868</v>
      </c>
      <c r="B2" s="13" t="s">
        <v>4</v>
      </c>
      <c r="D2" s="15" t="s">
        <v>29</v>
      </c>
      <c r="E2" s="14" t="s">
        <v>5</v>
      </c>
      <c r="G2" t="str">
        <f>TEXT(收據!$E$14,"0")</f>
        <v>240</v>
      </c>
      <c r="H2" t="str" cm="1">
        <f t="array" ref="H2">_xlfn.IFS(LEN($G$2)=$G$4,$H$4,LEN($G$2)=$G$5,$H$5,LEN($G$2)=$G$6,$H$6,LEN($G$2)=G7,$H$7,LEN($G$2)=$G$8,$H$8)</f>
        <v>貳 佰 肆 拾 零 元整</v>
      </c>
      <c r="R2" t="s">
        <v>15</v>
      </c>
      <c r="S2" t="s">
        <v>16</v>
      </c>
      <c r="T2" t="s">
        <v>17</v>
      </c>
    </row>
    <row r="3" spans="1:20" x14ac:dyDescent="0.25">
      <c r="D3" s="15" t="s">
        <v>30</v>
      </c>
      <c r="E3" s="14" t="s">
        <v>6</v>
      </c>
      <c r="G3" t="s">
        <v>39</v>
      </c>
      <c r="H3" t="s">
        <v>40</v>
      </c>
    </row>
    <row r="4" spans="1:20" x14ac:dyDescent="0.25">
      <c r="D4" s="15" t="s">
        <v>31</v>
      </c>
      <c r="E4" s="14" t="s">
        <v>7</v>
      </c>
      <c r="G4">
        <v>1</v>
      </c>
      <c r="H4" t="str">
        <f>VLOOKUP(RIGHT($G$2,1),$D$2:$E$11,2,FALSE) &amp; " 元整"</f>
        <v>零 元整</v>
      </c>
    </row>
    <row r="5" spans="1:20" x14ac:dyDescent="0.25">
      <c r="D5" s="15" t="s">
        <v>32</v>
      </c>
      <c r="E5" s="14" t="s">
        <v>8</v>
      </c>
      <c r="G5">
        <v>2</v>
      </c>
      <c r="H5" t="str">
        <f>VLOOKUP(MID($G$2,1,1),$D$2:$E$11,2,FALSE) &amp;" 拾 " &amp; VLOOKUP(RIGHT($G$2,1),$D$2:$E$11,2,FALSE) &amp; " 元整"</f>
        <v>貳 拾 零 元整</v>
      </c>
    </row>
    <row r="6" spans="1:20" x14ac:dyDescent="0.25">
      <c r="D6" s="15" t="s">
        <v>33</v>
      </c>
      <c r="E6" s="14" t="s">
        <v>9</v>
      </c>
      <c r="G6">
        <v>3</v>
      </c>
      <c r="H6" t="str">
        <f>VLOOKUP(MID($G$2,1,1),$D$2:$E$11,2,FALSE) &amp;" 佰 " &amp; VLOOKUP(MID($G$2,2,1),$D$2:$E$11,2,FALSE) &amp;" 拾 " &amp; VLOOKUP(RIGHT($G$2,1),$D$2:$E$11,2,FALSE) &amp; " 元整"</f>
        <v>貳 佰 肆 拾 零 元整</v>
      </c>
    </row>
    <row r="7" spans="1:20" x14ac:dyDescent="0.25">
      <c r="D7" s="15" t="s">
        <v>34</v>
      </c>
      <c r="E7" s="14" t="s">
        <v>10</v>
      </c>
      <c r="G7">
        <v>4</v>
      </c>
      <c r="H7" t="str">
        <f>VLOOKUP(MID($G$2,1,1),$D$2:$E$11,2,FALSE) &amp;" 仟 " &amp;VLOOKUP(MID($G$2,2,1),$D$2:$E$11,2,FALSE) &amp;" 佰 " &amp; VLOOKUP(MID($G$2,3,1),$D$2:$E$11,2,FALSE) &amp;" 拾 " &amp; VLOOKUP(RIGHT($G$2,1),$D$2:$E$11,2,FALSE) &amp; " 元整"</f>
        <v>貳 仟 肆 佰 零 拾 零 元整</v>
      </c>
    </row>
    <row r="8" spans="1:20" x14ac:dyDescent="0.25">
      <c r="D8" s="15" t="s">
        <v>35</v>
      </c>
      <c r="E8" s="14" t="s">
        <v>11</v>
      </c>
      <c r="G8">
        <v>5</v>
      </c>
      <c r="H8" t="e">
        <f>VLOOKUP(MID($G$2,1,1),$D$2:$E$11,2,FALSE) &amp;" 萬 " &amp;VLOOKUP(MID($G$2,2,1),$D$2:$E$11,2,FALSE) &amp;" 仟 " &amp;VLOOKUP(MID($G$2,3,1),$D$2:$E$11,2,FALSE) &amp;" 佰 " &amp; VLOOKUP(MID($G$2,4,1),$D$2:$E$11,2,FALSE) &amp;" 拾 " &amp; VLOOKUP(RIGHT($G$2,1),$D$2:$E$11,2,FALSE) &amp; " 元整"</f>
        <v>#N/A</v>
      </c>
    </row>
    <row r="9" spans="1:20" x14ac:dyDescent="0.25">
      <c r="D9" s="15" t="s">
        <v>36</v>
      </c>
      <c r="E9" s="14" t="s">
        <v>12</v>
      </c>
    </row>
    <row r="10" spans="1:20" x14ac:dyDescent="0.25">
      <c r="D10" s="15" t="s">
        <v>37</v>
      </c>
      <c r="E10" s="14" t="s">
        <v>13</v>
      </c>
    </row>
    <row r="11" spans="1:20" x14ac:dyDescent="0.25">
      <c r="D11" s="15" t="s">
        <v>38</v>
      </c>
      <c r="E11" s="14" t="s">
        <v>14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收據</vt:lpstr>
      <vt:lpstr>統編跟抬頭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林幸嫻-數位金融部-金融資訊處</dc:creator>
  <cp:lastModifiedBy>林幸嫻-數位金融部-金融資訊處</cp:lastModifiedBy>
  <dcterms:created xsi:type="dcterms:W3CDTF">2026-01-19T01:24:12Z</dcterms:created>
  <dcterms:modified xsi:type="dcterms:W3CDTF">2026-01-19T06:43:22Z</dcterms:modified>
</cp:coreProperties>
</file>